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tudent_Data" sheetId="1" r:id="rId1"/>
    <sheet name="Mark_Analyis" sheetId="2" r:id="rId2"/>
    <sheet name="Data" sheetId="3" r:id="rId3"/>
  </sheets>
  <calcPr calcId="124519"/>
</workbook>
</file>

<file path=xl/calcChain.xml><?xml version="1.0" encoding="utf-8"?>
<calcChain xmlns="http://schemas.openxmlformats.org/spreadsheetml/2006/main">
  <c r="G2" i="2"/>
  <c r="N4"/>
  <c r="N4" i="1"/>
  <c r="E21"/>
  <c r="I16"/>
  <c r="B2" i="2"/>
  <c r="C2"/>
  <c r="H2"/>
  <c r="I2"/>
  <c r="B3"/>
  <c r="C3"/>
  <c r="G3"/>
  <c r="H3"/>
  <c r="I3"/>
  <c r="B4"/>
  <c r="C4"/>
  <c r="I4"/>
  <c r="J4" s="1"/>
  <c r="K4" s="1"/>
  <c r="B5"/>
  <c r="C5"/>
  <c r="G5"/>
  <c r="H5"/>
  <c r="I5"/>
  <c r="B6"/>
  <c r="C6"/>
  <c r="G6"/>
  <c r="H6"/>
  <c r="I6"/>
  <c r="B7"/>
  <c r="C7"/>
  <c r="G7"/>
  <c r="H7"/>
  <c r="I7"/>
  <c r="B8"/>
  <c r="C8"/>
  <c r="G8"/>
  <c r="H8"/>
  <c r="I8"/>
  <c r="B9"/>
  <c r="C9"/>
  <c r="G9"/>
  <c r="H9"/>
  <c r="I9"/>
  <c r="B10"/>
  <c r="C10"/>
  <c r="G10"/>
  <c r="H10"/>
  <c r="I10"/>
  <c r="B11"/>
  <c r="C11"/>
  <c r="G11"/>
  <c r="H11"/>
  <c r="I11"/>
  <c r="B12"/>
  <c r="C12"/>
  <c r="G12"/>
  <c r="H12"/>
  <c r="I12"/>
  <c r="B13"/>
  <c r="C13"/>
  <c r="H13"/>
  <c r="N13" i="1" s="1"/>
  <c r="I13" i="2"/>
  <c r="M13" i="1" s="1"/>
  <c r="B14" i="2"/>
  <c r="C14"/>
  <c r="G14"/>
  <c r="H14"/>
  <c r="I14"/>
  <c r="B15"/>
  <c r="C15"/>
  <c r="G15"/>
  <c r="L15" s="1"/>
  <c r="H15"/>
  <c r="I15"/>
  <c r="B16"/>
  <c r="C16"/>
  <c r="G16"/>
  <c r="H16"/>
  <c r="I16"/>
  <c r="G2" i="1"/>
  <c r="H2"/>
  <c r="I2"/>
  <c r="I15"/>
  <c r="I14"/>
  <c r="I13"/>
  <c r="I12"/>
  <c r="I11"/>
  <c r="I10"/>
  <c r="I9"/>
  <c r="I8"/>
  <c r="I7"/>
  <c r="I6"/>
  <c r="I5"/>
  <c r="I4"/>
  <c r="J4" s="1"/>
  <c r="K4" s="1"/>
  <c r="I3"/>
  <c r="H16"/>
  <c r="H15"/>
  <c r="H14"/>
  <c r="H13"/>
  <c r="H12"/>
  <c r="H11"/>
  <c r="H10"/>
  <c r="H9"/>
  <c r="H8"/>
  <c r="H7"/>
  <c r="H6"/>
  <c r="H5"/>
  <c r="H3"/>
  <c r="G16"/>
  <c r="G15"/>
  <c r="G14"/>
  <c r="G12"/>
  <c r="G11"/>
  <c r="G10"/>
  <c r="G9"/>
  <c r="G8"/>
  <c r="G7"/>
  <c r="G6"/>
  <c r="G5"/>
  <c r="G3"/>
  <c r="L7" i="2" l="1"/>
  <c r="L16"/>
  <c r="L12"/>
  <c r="M14"/>
  <c r="L9"/>
  <c r="L5"/>
  <c r="M3"/>
  <c r="L4"/>
  <c r="L11"/>
  <c r="L8"/>
  <c r="N12"/>
  <c r="N8"/>
  <c r="L3"/>
  <c r="M10"/>
  <c r="M6"/>
  <c r="L6"/>
  <c r="L10"/>
  <c r="L14"/>
  <c r="M15"/>
  <c r="L13"/>
  <c r="N14"/>
  <c r="N9"/>
  <c r="N5"/>
  <c r="M11"/>
  <c r="M9"/>
  <c r="M7"/>
  <c r="M12"/>
  <c r="M8"/>
  <c r="N16"/>
  <c r="N15"/>
  <c r="N10"/>
  <c r="N11"/>
  <c r="N7"/>
  <c r="M2"/>
  <c r="L2"/>
  <c r="M4"/>
  <c r="N13"/>
  <c r="N6"/>
  <c r="M5"/>
  <c r="M13"/>
  <c r="N2"/>
  <c r="N3"/>
  <c r="J6" i="1"/>
  <c r="K6" s="1"/>
  <c r="J10"/>
  <c r="K10" s="1"/>
  <c r="N9"/>
  <c r="N5"/>
  <c r="L4"/>
  <c r="J15"/>
  <c r="J9"/>
  <c r="J5"/>
  <c r="M14"/>
  <c r="N11"/>
  <c r="N7"/>
  <c r="N14"/>
  <c r="M10"/>
  <c r="M6"/>
  <c r="N3"/>
  <c r="J13"/>
  <c r="N16"/>
  <c r="N15"/>
  <c r="N10"/>
  <c r="N6"/>
  <c r="J3"/>
  <c r="M12"/>
  <c r="M8"/>
  <c r="M2"/>
  <c r="J7"/>
  <c r="J11"/>
  <c r="J16"/>
  <c r="N12"/>
  <c r="M9"/>
  <c r="N8"/>
  <c r="M5"/>
  <c r="N2"/>
  <c r="J14"/>
  <c r="M15"/>
  <c r="M11"/>
  <c r="M7"/>
  <c r="M3"/>
  <c r="J8"/>
  <c r="J12"/>
  <c r="J2"/>
  <c r="L2" s="1"/>
  <c r="M4"/>
  <c r="J2" i="2"/>
  <c r="J15"/>
  <c r="J14"/>
  <c r="J10"/>
  <c r="J12"/>
  <c r="J16"/>
  <c r="J6"/>
  <c r="J3"/>
  <c r="J13"/>
  <c r="J8"/>
  <c r="J11"/>
  <c r="J9"/>
  <c r="J7"/>
  <c r="J5"/>
  <c r="L6" i="1" l="1"/>
  <c r="L10"/>
  <c r="K3" i="2"/>
  <c r="K12"/>
  <c r="K9"/>
  <c r="K10"/>
  <c r="K7"/>
  <c r="K5"/>
  <c r="K8"/>
  <c r="K16"/>
  <c r="K15"/>
  <c r="K13"/>
  <c r="K2"/>
  <c r="K11"/>
  <c r="K6"/>
  <c r="K14"/>
  <c r="K12" i="1"/>
  <c r="L12"/>
  <c r="K16"/>
  <c r="L16"/>
  <c r="K9"/>
  <c r="L9"/>
  <c r="K13"/>
  <c r="L13"/>
  <c r="K5"/>
  <c r="L5"/>
  <c r="K14"/>
  <c r="L14"/>
  <c r="K7"/>
  <c r="L7"/>
  <c r="K3"/>
  <c r="L3"/>
  <c r="K8"/>
  <c r="L8"/>
  <c r="K11"/>
  <c r="L11"/>
  <c r="K15"/>
  <c r="L15"/>
  <c r="K2"/>
</calcChain>
</file>

<file path=xl/sharedStrings.xml><?xml version="1.0" encoding="utf-8"?>
<sst xmlns="http://schemas.openxmlformats.org/spreadsheetml/2006/main" count="134" uniqueCount="95">
  <si>
    <t>Full Name</t>
  </si>
  <si>
    <t>First Name</t>
  </si>
  <si>
    <t>Last name</t>
  </si>
  <si>
    <t xml:space="preserve">Class </t>
  </si>
  <si>
    <t>Science</t>
  </si>
  <si>
    <t>Maths</t>
  </si>
  <si>
    <t>Hindi</t>
  </si>
  <si>
    <t>Tejas kumar yadaw</t>
  </si>
  <si>
    <t>Rohit sharma</t>
  </si>
  <si>
    <t>Virat Kohli</t>
  </si>
  <si>
    <t>Hardik pandya</t>
  </si>
  <si>
    <t>Tilak varma</t>
  </si>
  <si>
    <t>Surya kumar Yadav</t>
  </si>
  <si>
    <t>Jasprit bumrah</t>
  </si>
  <si>
    <t>Rinku singh</t>
  </si>
  <si>
    <t>shivam dube</t>
  </si>
  <si>
    <t>Abhishek sharma</t>
  </si>
  <si>
    <t>Sanju samson</t>
  </si>
  <si>
    <t>Total Sum</t>
  </si>
  <si>
    <t>Kuldeep yadav</t>
  </si>
  <si>
    <t>FROM</t>
  </si>
  <si>
    <t>Pass/Failed</t>
  </si>
  <si>
    <t>Mumbai</t>
  </si>
  <si>
    <t>Pune</t>
  </si>
  <si>
    <t>Bhilai</t>
  </si>
  <si>
    <t>Delhi</t>
  </si>
  <si>
    <t>Roll Number</t>
  </si>
  <si>
    <t>RU-CSE-01</t>
  </si>
  <si>
    <t>RU-CSE-02</t>
  </si>
  <si>
    <t>RU-CSE-03</t>
  </si>
  <si>
    <t>RU-CSE-04</t>
  </si>
  <si>
    <t>RU-CSE-05</t>
  </si>
  <si>
    <t>RU-CSE-06</t>
  </si>
  <si>
    <t>RU-CSE-07</t>
  </si>
  <si>
    <t>RU-CSE-08</t>
  </si>
  <si>
    <t>RU-CSE-09</t>
  </si>
  <si>
    <t>RU-CSE-10</t>
  </si>
  <si>
    <t>RU-CSE-11</t>
  </si>
  <si>
    <t>RU-CSE-12</t>
  </si>
  <si>
    <t>RU-CSE-13</t>
  </si>
  <si>
    <t>RU-CSE-14</t>
  </si>
  <si>
    <t>RU-CSE-15</t>
  </si>
  <si>
    <t>KL Rahul</t>
  </si>
  <si>
    <t>Rishabh Pant</t>
  </si>
  <si>
    <t>Jitesh Sharma</t>
  </si>
  <si>
    <t>Maximum</t>
  </si>
  <si>
    <t>Minimum</t>
  </si>
  <si>
    <t>Count Delhi</t>
  </si>
  <si>
    <t>From</t>
  </si>
  <si>
    <t>Avarage</t>
  </si>
  <si>
    <t>Rahul Verma</t>
  </si>
  <si>
    <t>Neha Sharma</t>
  </si>
  <si>
    <t>Aman Khan</t>
  </si>
  <si>
    <t>Pooja Patel</t>
  </si>
  <si>
    <t>Suresh Das</t>
  </si>
  <si>
    <t>Ankit Singh</t>
  </si>
  <si>
    <t>Riya Gupta</t>
  </si>
  <si>
    <t>Mohit Jain</t>
  </si>
  <si>
    <t>Sneha Iyer</t>
  </si>
  <si>
    <t>Karan Malhotra</t>
  </si>
  <si>
    <t>Aditi Rao</t>
  </si>
  <si>
    <t>Nikhil Pawar</t>
  </si>
  <si>
    <t>Simran Kaur</t>
  </si>
  <si>
    <t>Arjun Mehta</t>
  </si>
  <si>
    <t>Kavya Nair</t>
  </si>
  <si>
    <t>Rahul</t>
  </si>
  <si>
    <t>Neha</t>
  </si>
  <si>
    <t>Aman</t>
  </si>
  <si>
    <t>Pooja</t>
  </si>
  <si>
    <t>Suresh</t>
  </si>
  <si>
    <t>Ankit</t>
  </si>
  <si>
    <t>Riya</t>
  </si>
  <si>
    <t>Mohit</t>
  </si>
  <si>
    <t>Sneha</t>
  </si>
  <si>
    <t>Karan</t>
  </si>
  <si>
    <t>Aditi</t>
  </si>
  <si>
    <t>Nikhil</t>
  </si>
  <si>
    <t>Simran</t>
  </si>
  <si>
    <t>Arjun</t>
  </si>
  <si>
    <t>Kavya</t>
  </si>
  <si>
    <t>Verma</t>
  </si>
  <si>
    <t>Sharma</t>
  </si>
  <si>
    <t>Khan</t>
  </si>
  <si>
    <t>Patel</t>
  </si>
  <si>
    <t>Das</t>
  </si>
  <si>
    <t>Singh</t>
  </si>
  <si>
    <t>Gupta</t>
  </si>
  <si>
    <t>Jain</t>
  </si>
  <si>
    <t>Iyer</t>
  </si>
  <si>
    <t>Malhotra</t>
  </si>
  <si>
    <t>Rao</t>
  </si>
  <si>
    <t>Pawar</t>
  </si>
  <si>
    <t>Kaur</t>
  </si>
  <si>
    <t>Mehta</t>
  </si>
  <si>
    <t>Nair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</si>
</sst>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5"/>
  <c:chart>
    <c:title>
      <c:layout/>
    </c:title>
    <c:plotArea>
      <c:layout>
        <c:manualLayout>
          <c:layoutTarget val="inner"/>
          <c:xMode val="edge"/>
          <c:yMode val="edge"/>
          <c:x val="0.42076895793431235"/>
          <c:y val="0.30746564534418097"/>
          <c:w val="0.77124566118772042"/>
          <c:h val="0.68879444089368569"/>
        </c:manualLayout>
      </c:layout>
      <c:barChart>
        <c:barDir val="bar"/>
        <c:grouping val="clustered"/>
        <c:ser>
          <c:idx val="0"/>
          <c:order val="0"/>
          <c:tx>
            <c:strRef>
              <c:f>Mark_Analyis!$G$1</c:f>
              <c:strCache>
                <c:ptCount val="1"/>
                <c:pt idx="0">
                  <c:v>Science</c:v>
                </c:pt>
              </c:strCache>
            </c:strRef>
          </c:tx>
          <c:dLbls>
            <c:showVal val="1"/>
          </c:dLbls>
          <c:val>
            <c:numRef>
              <c:f>Mark_Analyis!$G$2:$G$16</c:f>
              <c:numCache>
                <c:formatCode>General</c:formatCode>
                <c:ptCount val="15"/>
                <c:pt idx="0">
                  <c:v>30</c:v>
                </c:pt>
                <c:pt idx="1">
                  <c:v>39</c:v>
                </c:pt>
                <c:pt idx="2">
                  <c:v>46</c:v>
                </c:pt>
                <c:pt idx="3">
                  <c:v>59</c:v>
                </c:pt>
                <c:pt idx="4">
                  <c:v>55</c:v>
                </c:pt>
                <c:pt idx="5">
                  <c:v>41</c:v>
                </c:pt>
                <c:pt idx="6">
                  <c:v>58</c:v>
                </c:pt>
                <c:pt idx="7">
                  <c:v>30</c:v>
                </c:pt>
                <c:pt idx="8">
                  <c:v>55</c:v>
                </c:pt>
                <c:pt idx="9">
                  <c:v>32</c:v>
                </c:pt>
                <c:pt idx="10">
                  <c:v>37</c:v>
                </c:pt>
                <c:pt idx="11">
                  <c:v>33</c:v>
                </c:pt>
                <c:pt idx="12">
                  <c:v>42</c:v>
                </c:pt>
                <c:pt idx="13">
                  <c:v>48</c:v>
                </c:pt>
                <c:pt idx="14">
                  <c:v>43</c:v>
                </c:pt>
              </c:numCache>
            </c:numRef>
          </c:val>
        </c:ser>
        <c:axId val="83032704"/>
        <c:axId val="83031168"/>
      </c:barChart>
      <c:valAx>
        <c:axId val="83031168"/>
        <c:scaling>
          <c:orientation val="minMax"/>
        </c:scaling>
        <c:axPos val="b"/>
        <c:majorGridlines/>
        <c:numFmt formatCode="General" sourceLinked="1"/>
        <c:tickLblPos val="nextTo"/>
        <c:crossAx val="83032704"/>
        <c:crosses val="autoZero"/>
        <c:crossBetween val="between"/>
      </c:valAx>
      <c:catAx>
        <c:axId val="83032704"/>
        <c:scaling>
          <c:orientation val="minMax"/>
        </c:scaling>
        <c:axPos val="l"/>
        <c:tickLblPos val="nextTo"/>
        <c:crossAx val="83031168"/>
        <c:crosses val="autoZero"/>
        <c:auto val="1"/>
        <c:lblAlgn val="ctr"/>
        <c:lblOffset val="100"/>
      </c:cat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>
        <c:manualLayout>
          <c:layoutTarget val="inner"/>
          <c:xMode val="edge"/>
          <c:yMode val="edge"/>
          <c:x val="0.34999587551670608"/>
          <c:y val="0.45703552180532592"/>
          <c:w val="0.28177952755905511"/>
          <c:h val="0.46963254593175852"/>
        </c:manualLayout>
      </c:layout>
      <c:pieChart>
        <c:varyColors val="1"/>
        <c:ser>
          <c:idx val="0"/>
          <c:order val="0"/>
          <c:tx>
            <c:strRef>
              <c:f>Mark_Analyis!$K$1:$K$15</c:f>
              <c:strCache>
                <c:ptCount val="1"/>
                <c:pt idx="0">
                  <c:v>Pass/Failed Fail Pass Pass Pass Pass Fail Pass Fail Pass Fail Fail Fail Pass Pass</c:v>
                </c:pt>
              </c:strCache>
            </c:strRef>
          </c:tx>
          <c:dLbls>
            <c:showVal val="1"/>
            <c:showLeaderLines val="1"/>
          </c:dLbls>
          <c:val>
            <c:numRef>
              <c:f>Mark_Analyis!$K$16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152400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133348</xdr:colOff>
      <xdr:row>3</xdr:row>
      <xdr:rowOff>19050</xdr:rowOff>
    </xdr:from>
    <xdr:to>
      <xdr:col>16</xdr:col>
      <xdr:colOff>76199</xdr:colOff>
      <xdr:row>17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>
      <selection activeCell="H21" sqref="H21"/>
    </sheetView>
  </sheetViews>
  <sheetFormatPr defaultRowHeight="15"/>
  <cols>
    <col min="1" max="1" width="18" customWidth="1"/>
    <col min="2" max="2" width="19.28515625" customWidth="1"/>
    <col min="3" max="4" width="18.85546875" customWidth="1"/>
    <col min="5" max="5" width="15.7109375" customWidth="1"/>
    <col min="6" max="6" width="12.140625" customWidth="1"/>
    <col min="7" max="7" width="11.5703125" customWidth="1"/>
    <col min="8" max="9" width="9.140625" customWidth="1"/>
    <col min="11" max="12" width="12.140625" customWidth="1"/>
    <col min="13" max="13" width="11.57031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26</v>
      </c>
      <c r="E1" s="2" t="s">
        <v>20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18</v>
      </c>
      <c r="K1" s="2" t="s">
        <v>21</v>
      </c>
      <c r="L1" s="2" t="s">
        <v>49</v>
      </c>
      <c r="M1" s="2" t="s">
        <v>45</v>
      </c>
      <c r="N1" s="2" t="s">
        <v>46</v>
      </c>
    </row>
    <row r="2" spans="1:14">
      <c r="A2" s="6" t="s">
        <v>50</v>
      </c>
      <c r="B2" s="2" t="s">
        <v>65</v>
      </c>
      <c r="C2" s="2" t="s">
        <v>80</v>
      </c>
      <c r="D2" s="2">
        <v>1</v>
      </c>
      <c r="E2" s="2" t="s">
        <v>25</v>
      </c>
      <c r="F2" s="2">
        <v>9</v>
      </c>
      <c r="G2" s="2">
        <f ca="1">RANDBETWEEN(30,60)</f>
        <v>39</v>
      </c>
      <c r="H2" s="2">
        <f ca="1">RANDBETWEEN(20,40)</f>
        <v>22</v>
      </c>
      <c r="I2" s="2">
        <f ca="1">RANDBETWEEN(40,60)</f>
        <v>58</v>
      </c>
      <c r="J2" s="2">
        <f ca="1">SUM(G2, H2, I2)</f>
        <v>119</v>
      </c>
      <c r="K2" s="2" t="str">
        <f ca="1">IF(J2&gt;=120, "Pass", "Fail")</f>
        <v>Fail</v>
      </c>
      <c r="L2" s="2">
        <f ca="1">AVERAGE(J2)</f>
        <v>119</v>
      </c>
      <c r="M2" s="4">
        <f ca="1">MAX(Mark_Analyis!G2,Mark_Analyis!I2)</f>
        <v>42</v>
      </c>
      <c r="N2" s="4">
        <f ca="1">MIN(Mark_Analyis!H2,Mark_Analyis!G2)</f>
        <v>30</v>
      </c>
    </row>
    <row r="3" spans="1:14">
      <c r="A3" s="6" t="s">
        <v>51</v>
      </c>
      <c r="B3" s="2" t="s">
        <v>66</v>
      </c>
      <c r="C3" s="2" t="s">
        <v>81</v>
      </c>
      <c r="D3" s="2">
        <v>2</v>
      </c>
      <c r="E3" s="2" t="s">
        <v>22</v>
      </c>
      <c r="F3" s="2">
        <v>9</v>
      </c>
      <c r="G3" s="2">
        <f t="shared" ref="G3:G16" ca="1" si="0">RANDBETWEEN(30,60)</f>
        <v>43</v>
      </c>
      <c r="H3" s="2">
        <f t="shared" ref="H3:H16" ca="1" si="1">RANDBETWEEN(20,40)</f>
        <v>26</v>
      </c>
      <c r="I3" s="2">
        <f t="shared" ref="I3:I16" ca="1" si="2">RANDBETWEEN(40,60)</f>
        <v>40</v>
      </c>
      <c r="J3" s="2">
        <f t="shared" ref="J3:J16" ca="1" si="3">SUM(G3, H3, I3)</f>
        <v>109</v>
      </c>
      <c r="K3" s="2" t="str">
        <f ca="1">IF(J3&gt;=120, "Pass", "Fail")</f>
        <v>Fail</v>
      </c>
      <c r="L3" s="2">
        <f t="shared" ref="L3:L16" ca="1" si="4">AVERAGE(J3)</f>
        <v>109</v>
      </c>
      <c r="M3" s="4">
        <f ca="1">MAX(Mark_Analyis!G3,Mark_Analyis!I3)</f>
        <v>60</v>
      </c>
      <c r="N3" s="4">
        <f ca="1">MIN(Mark_Analyis!H3,Mark_Analyis!G3)</f>
        <v>32</v>
      </c>
    </row>
    <row r="4" spans="1:14">
      <c r="A4" s="6" t="s">
        <v>52</v>
      </c>
      <c r="B4" s="2" t="s">
        <v>67</v>
      </c>
      <c r="C4" s="2" t="s">
        <v>82</v>
      </c>
      <c r="D4" s="2">
        <v>3</v>
      </c>
      <c r="E4" s="2" t="s">
        <v>25</v>
      </c>
      <c r="F4" s="2">
        <v>9</v>
      </c>
      <c r="G4" s="2">
        <v>46</v>
      </c>
      <c r="H4" s="2">
        <v>39</v>
      </c>
      <c r="I4" s="2">
        <f t="shared" ca="1" si="2"/>
        <v>56</v>
      </c>
      <c r="J4" s="2">
        <f t="shared" ca="1" si="3"/>
        <v>141</v>
      </c>
      <c r="K4" s="2" t="str">
        <f ca="1">IF(J4&gt;=120, "Pass", "Fail")</f>
        <v>Pass</v>
      </c>
      <c r="L4" s="2">
        <f t="shared" ca="1" si="4"/>
        <v>141</v>
      </c>
      <c r="M4" s="4">
        <f ca="1">MAX(Mark_Analyis!G4,Mark_Analyis!I4)</f>
        <v>46</v>
      </c>
      <c r="N4" s="4">
        <f>MIN(Mark_Analyis!H4,Mark_Analyis!G4)</f>
        <v>39</v>
      </c>
    </row>
    <row r="5" spans="1:14">
      <c r="A5" s="6" t="s">
        <v>53</v>
      </c>
      <c r="B5" s="2" t="s">
        <v>68</v>
      </c>
      <c r="C5" s="2" t="s">
        <v>83</v>
      </c>
      <c r="D5" s="2">
        <v>4</v>
      </c>
      <c r="E5" s="2" t="s">
        <v>24</v>
      </c>
      <c r="F5" s="2">
        <v>9</v>
      </c>
      <c r="G5" s="2">
        <f t="shared" ca="1" si="0"/>
        <v>47</v>
      </c>
      <c r="H5" s="2">
        <f t="shared" ca="1" si="1"/>
        <v>22</v>
      </c>
      <c r="I5" s="2">
        <f t="shared" ca="1" si="2"/>
        <v>47</v>
      </c>
      <c r="J5" s="2">
        <f t="shared" ca="1" si="3"/>
        <v>116</v>
      </c>
      <c r="K5" s="2" t="str">
        <f ca="1">IF(J5&gt;=120, "Pass", "Fail")</f>
        <v>Fail</v>
      </c>
      <c r="L5" s="2">
        <f t="shared" ca="1" si="4"/>
        <v>116</v>
      </c>
      <c r="M5" s="4">
        <f ca="1">MAX(Mark_Analyis!G5,Mark_Analyis!I5)</f>
        <v>59</v>
      </c>
      <c r="N5" s="4">
        <f ca="1">MIN(Mark_Analyis!H5,Mark_Analyis!G5)</f>
        <v>38</v>
      </c>
    </row>
    <row r="6" spans="1:14">
      <c r="A6" s="6" t="s">
        <v>54</v>
      </c>
      <c r="B6" s="2" t="s">
        <v>69</v>
      </c>
      <c r="C6" s="2" t="s">
        <v>84</v>
      </c>
      <c r="D6" s="2">
        <v>5</v>
      </c>
      <c r="E6" s="2" t="s">
        <v>23</v>
      </c>
      <c r="F6" s="2">
        <v>9</v>
      </c>
      <c r="G6" s="2">
        <f t="shared" ca="1" si="0"/>
        <v>60</v>
      </c>
      <c r="H6" s="2">
        <f t="shared" ca="1" si="1"/>
        <v>34</v>
      </c>
      <c r="I6" s="2">
        <f t="shared" ca="1" si="2"/>
        <v>60</v>
      </c>
      <c r="J6" s="2">
        <f t="shared" ca="1" si="3"/>
        <v>154</v>
      </c>
      <c r="K6" s="2" t="str">
        <f ca="1">IF(J6&gt;=120, "Pass", "Fail")</f>
        <v>Pass</v>
      </c>
      <c r="L6" s="2">
        <f t="shared" ca="1" si="4"/>
        <v>154</v>
      </c>
      <c r="M6" s="4">
        <f ca="1">MAX(Mark_Analyis!G6,Mark_Analyis!I6)</f>
        <v>55</v>
      </c>
      <c r="N6" s="4">
        <f ca="1">MIN(Mark_Analyis!H6,Mark_Analyis!G6)</f>
        <v>38</v>
      </c>
    </row>
    <row r="7" spans="1:14">
      <c r="A7" s="6" t="s">
        <v>55</v>
      </c>
      <c r="B7" s="2" t="s">
        <v>70</v>
      </c>
      <c r="C7" s="2" t="s">
        <v>85</v>
      </c>
      <c r="D7" s="2">
        <v>6</v>
      </c>
      <c r="E7" s="2" t="s">
        <v>22</v>
      </c>
      <c r="F7" s="2">
        <v>9</v>
      </c>
      <c r="G7" s="2">
        <f t="shared" ca="1" si="0"/>
        <v>46</v>
      </c>
      <c r="H7" s="2">
        <f t="shared" ca="1" si="1"/>
        <v>21</v>
      </c>
      <c r="I7" s="2">
        <f t="shared" ca="1" si="2"/>
        <v>57</v>
      </c>
      <c r="J7" s="2">
        <f t="shared" ca="1" si="3"/>
        <v>124</v>
      </c>
      <c r="K7" s="2" t="str">
        <f ca="1">IF(J7&gt;=120, "Pass", "Fail")</f>
        <v>Pass</v>
      </c>
      <c r="L7" s="2">
        <f t="shared" ca="1" si="4"/>
        <v>124</v>
      </c>
      <c r="M7" s="4">
        <f ca="1">MAX(Mark_Analyis!G7,Mark_Analyis!I7)</f>
        <v>43</v>
      </c>
      <c r="N7" s="4">
        <f ca="1">MIN(Mark_Analyis!H7,Mark_Analyis!G7)</f>
        <v>23</v>
      </c>
    </row>
    <row r="8" spans="1:14">
      <c r="A8" s="6" t="s">
        <v>56</v>
      </c>
      <c r="B8" s="2" t="s">
        <v>71</v>
      </c>
      <c r="C8" s="2" t="s">
        <v>86</v>
      </c>
      <c r="D8" s="2">
        <v>7</v>
      </c>
      <c r="E8" s="2" t="s">
        <v>24</v>
      </c>
      <c r="F8" s="2">
        <v>9</v>
      </c>
      <c r="G8" s="2">
        <f t="shared" ca="1" si="0"/>
        <v>38</v>
      </c>
      <c r="H8" s="2">
        <f t="shared" ca="1" si="1"/>
        <v>27</v>
      </c>
      <c r="I8" s="2">
        <f t="shared" ca="1" si="2"/>
        <v>50</v>
      </c>
      <c r="J8" s="2">
        <f t="shared" ca="1" si="3"/>
        <v>115</v>
      </c>
      <c r="K8" s="2" t="str">
        <f ca="1">IF(J8&gt;=120, "Pass", "Fail")</f>
        <v>Fail</v>
      </c>
      <c r="L8" s="2">
        <f t="shared" ca="1" si="4"/>
        <v>115</v>
      </c>
      <c r="M8" s="4">
        <f ca="1">MAX(Mark_Analyis!G8,Mark_Analyis!I8)</f>
        <v>58</v>
      </c>
      <c r="N8" s="4">
        <f ca="1">MIN(Mark_Analyis!H8,Mark_Analyis!G8)</f>
        <v>26</v>
      </c>
    </row>
    <row r="9" spans="1:14">
      <c r="A9" s="6" t="s">
        <v>57</v>
      </c>
      <c r="B9" s="2" t="s">
        <v>72</v>
      </c>
      <c r="C9" s="2" t="s">
        <v>87</v>
      </c>
      <c r="D9" s="2">
        <v>8</v>
      </c>
      <c r="E9" s="2" t="s">
        <v>25</v>
      </c>
      <c r="F9" s="2">
        <v>9</v>
      </c>
      <c r="G9" s="2">
        <f t="shared" ca="1" si="0"/>
        <v>37</v>
      </c>
      <c r="H9" s="2">
        <f t="shared" ca="1" si="1"/>
        <v>26</v>
      </c>
      <c r="I9" s="2">
        <f t="shared" ca="1" si="2"/>
        <v>42</v>
      </c>
      <c r="J9" s="2">
        <f t="shared" ca="1" si="3"/>
        <v>105</v>
      </c>
      <c r="K9" s="2" t="str">
        <f ca="1">IF(J9&gt;=120, "Pass", "Fail")</f>
        <v>Fail</v>
      </c>
      <c r="L9" s="2">
        <f t="shared" ca="1" si="4"/>
        <v>105</v>
      </c>
      <c r="M9" s="4">
        <f ca="1">MAX(Mark_Analyis!G9,Mark_Analyis!I9)</f>
        <v>43</v>
      </c>
      <c r="N9" s="4">
        <f ca="1">MIN(Mark_Analyis!H9,Mark_Analyis!G9)</f>
        <v>21</v>
      </c>
    </row>
    <row r="10" spans="1:14">
      <c r="A10" s="6" t="s">
        <v>58</v>
      </c>
      <c r="B10" s="2" t="s">
        <v>73</v>
      </c>
      <c r="C10" s="2" t="s">
        <v>88</v>
      </c>
      <c r="D10" s="2">
        <v>9</v>
      </c>
      <c r="E10" s="2" t="s">
        <v>23</v>
      </c>
      <c r="F10" s="2">
        <v>9</v>
      </c>
      <c r="G10" s="2">
        <f t="shared" ca="1" si="0"/>
        <v>53</v>
      </c>
      <c r="H10" s="2">
        <f t="shared" ca="1" si="1"/>
        <v>21</v>
      </c>
      <c r="I10" s="2">
        <f t="shared" ca="1" si="2"/>
        <v>47</v>
      </c>
      <c r="J10" s="2">
        <f t="shared" ca="1" si="3"/>
        <v>121</v>
      </c>
      <c r="K10" s="2" t="str">
        <f ca="1">IF(J10&gt;=120, "Pass", "Fail")</f>
        <v>Pass</v>
      </c>
      <c r="L10" s="2">
        <f t="shared" ca="1" si="4"/>
        <v>121</v>
      </c>
      <c r="M10" s="4">
        <f ca="1">MAX(Mark_Analyis!G10,Mark_Analyis!I10)</f>
        <v>55</v>
      </c>
      <c r="N10" s="4">
        <f ca="1">MIN(Mark_Analyis!H10,Mark_Analyis!G10)</f>
        <v>20</v>
      </c>
    </row>
    <row r="11" spans="1:14">
      <c r="A11" s="6" t="s">
        <v>59</v>
      </c>
      <c r="B11" s="2" t="s">
        <v>74</v>
      </c>
      <c r="C11" s="2" t="s">
        <v>89</v>
      </c>
      <c r="D11" s="2">
        <v>10</v>
      </c>
      <c r="E11" s="2" t="s">
        <v>24</v>
      </c>
      <c r="F11" s="2">
        <v>9</v>
      </c>
      <c r="G11" s="2">
        <f t="shared" ca="1" si="0"/>
        <v>39</v>
      </c>
      <c r="H11" s="2">
        <f t="shared" ca="1" si="1"/>
        <v>30</v>
      </c>
      <c r="I11" s="2">
        <f t="shared" ca="1" si="2"/>
        <v>56</v>
      </c>
      <c r="J11" s="2">
        <f t="shared" ca="1" si="3"/>
        <v>125</v>
      </c>
      <c r="K11" s="2" t="str">
        <f ca="1">IF(J11&gt;=120, "Pass", "Fail")</f>
        <v>Pass</v>
      </c>
      <c r="L11" s="2">
        <f t="shared" ca="1" si="4"/>
        <v>125</v>
      </c>
      <c r="M11" s="4">
        <f ca="1">MAX(Mark_Analyis!G11,Mark_Analyis!I11)</f>
        <v>43</v>
      </c>
      <c r="N11" s="4">
        <f ca="1">MIN(Mark_Analyis!H11,Mark_Analyis!G11)</f>
        <v>32</v>
      </c>
    </row>
    <row r="12" spans="1:14">
      <c r="A12" s="6" t="s">
        <v>60</v>
      </c>
      <c r="B12" s="2" t="s">
        <v>75</v>
      </c>
      <c r="C12" s="2" t="s">
        <v>90</v>
      </c>
      <c r="D12" s="2">
        <v>11</v>
      </c>
      <c r="E12" s="2" t="s">
        <v>22</v>
      </c>
      <c r="F12" s="2">
        <v>9</v>
      </c>
      <c r="G12" s="2">
        <f t="shared" ca="1" si="0"/>
        <v>44</v>
      </c>
      <c r="H12" s="2">
        <f t="shared" ca="1" si="1"/>
        <v>36</v>
      </c>
      <c r="I12" s="2">
        <f t="shared" ca="1" si="2"/>
        <v>47</v>
      </c>
      <c r="J12" s="2">
        <f t="shared" ca="1" si="3"/>
        <v>127</v>
      </c>
      <c r="K12" s="2" t="str">
        <f ca="1">IF(J12&gt;=120, "Pass", "Fail")</f>
        <v>Pass</v>
      </c>
      <c r="L12" s="2">
        <f t="shared" ca="1" si="4"/>
        <v>127</v>
      </c>
      <c r="M12" s="4">
        <f ca="1">MAX(Mark_Analyis!G12,Mark_Analyis!I12)</f>
        <v>53</v>
      </c>
      <c r="N12" s="4">
        <f ca="1">MIN(Mark_Analyis!H12,Mark_Analyis!G12)</f>
        <v>25</v>
      </c>
    </row>
    <row r="13" spans="1:14">
      <c r="A13" s="6" t="s">
        <v>61</v>
      </c>
      <c r="B13" s="2" t="s">
        <v>76</v>
      </c>
      <c r="C13" s="2" t="s">
        <v>91</v>
      </c>
      <c r="D13" s="2">
        <v>12</v>
      </c>
      <c r="E13" s="2" t="s">
        <v>25</v>
      </c>
      <c r="F13" s="2">
        <v>9</v>
      </c>
      <c r="G13" s="2">
        <v>33</v>
      </c>
      <c r="H13" s="2">
        <f t="shared" ca="1" si="1"/>
        <v>31</v>
      </c>
      <c r="I13" s="2">
        <f t="shared" ca="1" si="2"/>
        <v>42</v>
      </c>
      <c r="J13" s="2">
        <f t="shared" ca="1" si="3"/>
        <v>106</v>
      </c>
      <c r="K13" s="2" t="str">
        <f ca="1">IF(J13&gt;=120, "Pass", "Fail")</f>
        <v>Fail</v>
      </c>
      <c r="L13" s="2">
        <f t="shared" ca="1" si="4"/>
        <v>106</v>
      </c>
      <c r="M13" s="4">
        <f ca="1">MAX(Mark_Analyis!G13,Mark_Analyis!I13)</f>
        <v>48</v>
      </c>
      <c r="N13" s="4">
        <f ca="1">MIN(Mark_Analyis!H13,Mark_Analyis!G13)</f>
        <v>26</v>
      </c>
    </row>
    <row r="14" spans="1:14">
      <c r="A14" s="6" t="s">
        <v>62</v>
      </c>
      <c r="B14" s="2" t="s">
        <v>77</v>
      </c>
      <c r="C14" s="2" t="s">
        <v>92</v>
      </c>
      <c r="D14" s="2">
        <v>13</v>
      </c>
      <c r="E14" s="2" t="s">
        <v>22</v>
      </c>
      <c r="F14" s="2">
        <v>9</v>
      </c>
      <c r="G14" s="2">
        <f t="shared" ca="1" si="0"/>
        <v>42</v>
      </c>
      <c r="H14" s="2">
        <f t="shared" ca="1" si="1"/>
        <v>31</v>
      </c>
      <c r="I14" s="2">
        <f t="shared" ca="1" si="2"/>
        <v>60</v>
      </c>
      <c r="J14" s="2">
        <f ca="1">SUM(G14, H14, I14)</f>
        <v>133</v>
      </c>
      <c r="K14" s="2" t="str">
        <f ca="1">IF(J14&gt;=120, "Pass", "Fail")</f>
        <v>Pass</v>
      </c>
      <c r="L14" s="2">
        <f t="shared" ca="1" si="4"/>
        <v>133</v>
      </c>
      <c r="M14" s="4">
        <f ca="1">MAX(Mark_Analyis!G14,Mark_Analyis!I14)</f>
        <v>50</v>
      </c>
      <c r="N14" s="4">
        <f ca="1">MIN(Mark_Analyis!H14,Mark_Analyis!G14)</f>
        <v>37</v>
      </c>
    </row>
    <row r="15" spans="1:14">
      <c r="A15" s="6" t="s">
        <v>63</v>
      </c>
      <c r="B15" s="2" t="s">
        <v>78</v>
      </c>
      <c r="C15" s="2" t="s">
        <v>93</v>
      </c>
      <c r="D15" s="2">
        <v>14</v>
      </c>
      <c r="E15" s="2" t="s">
        <v>23</v>
      </c>
      <c r="F15" s="2">
        <v>9</v>
      </c>
      <c r="G15" s="2">
        <f t="shared" ca="1" si="0"/>
        <v>37</v>
      </c>
      <c r="H15" s="2">
        <f t="shared" ca="1" si="1"/>
        <v>31</v>
      </c>
      <c r="I15" s="2">
        <f t="shared" ca="1" si="2"/>
        <v>52</v>
      </c>
      <c r="J15" s="2">
        <f ca="1">SUM(G15, H15, I15)</f>
        <v>120</v>
      </c>
      <c r="K15" s="2" t="str">
        <f ca="1">IF(J15&gt;=120, "Pass", "Fail")</f>
        <v>Pass</v>
      </c>
      <c r="L15" s="2">
        <f t="shared" ca="1" si="4"/>
        <v>120</v>
      </c>
      <c r="M15" s="4">
        <f ca="1">MAX(Mark_Analyis!G15,Mark_Analyis!I15)</f>
        <v>48</v>
      </c>
      <c r="N15" s="4">
        <f ca="1">MIN(Mark_Analyis!H15,Mark_Analyis!G15)</f>
        <v>33</v>
      </c>
    </row>
    <row r="16" spans="1:14">
      <c r="A16" s="6" t="s">
        <v>64</v>
      </c>
      <c r="B16" s="2" t="s">
        <v>79</v>
      </c>
      <c r="C16" s="2" t="s">
        <v>94</v>
      </c>
      <c r="D16" s="2">
        <v>15</v>
      </c>
      <c r="E16" s="2" t="s">
        <v>24</v>
      </c>
      <c r="F16" s="2">
        <v>9</v>
      </c>
      <c r="G16" s="2">
        <f t="shared" ca="1" si="0"/>
        <v>49</v>
      </c>
      <c r="H16" s="2">
        <f t="shared" ca="1" si="1"/>
        <v>33</v>
      </c>
      <c r="I16" s="2">
        <f t="shared" ca="1" si="2"/>
        <v>51</v>
      </c>
      <c r="J16" s="2">
        <f t="shared" ca="1" si="3"/>
        <v>133</v>
      </c>
      <c r="K16" s="2" t="str">
        <f ca="1">IF(J16&gt;=120, "Pass", "Fail")</f>
        <v>Pass</v>
      </c>
      <c r="L16" s="2">
        <f t="shared" ca="1" si="4"/>
        <v>133</v>
      </c>
      <c r="M16" s="2">
        <v>57</v>
      </c>
      <c r="N16" s="4">
        <f ca="1">MAX(Mark_Analyis!G16,Mark_Analyis!I16)</f>
        <v>52</v>
      </c>
    </row>
    <row r="18" spans="5:12">
      <c r="K18" s="1"/>
      <c r="L18" s="1"/>
    </row>
    <row r="19" spans="5:12">
      <c r="K19" s="1"/>
      <c r="L19" s="1"/>
    </row>
    <row r="20" spans="5:12">
      <c r="E20" s="4" t="s">
        <v>47</v>
      </c>
    </row>
    <row r="21" spans="5:12">
      <c r="E21" s="4">
        <f>COUNTIF(E2:E16,"Delhi")</f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selection activeCell="K1" sqref="K1:K16"/>
    </sheetView>
  </sheetViews>
  <sheetFormatPr defaultRowHeight="15"/>
  <cols>
    <col min="1" max="1" width="17.7109375" customWidth="1"/>
    <col min="4" max="4" width="14.85546875" customWidth="1"/>
    <col min="11" max="11" width="12.140625" customWidth="1"/>
    <col min="12" max="12" width="9.5703125" bestFit="1" customWidth="1"/>
    <col min="13" max="13" width="10.5703125" customWidth="1"/>
    <col min="14" max="14" width="10.1406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26</v>
      </c>
      <c r="E1" s="2" t="s">
        <v>48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18</v>
      </c>
      <c r="K1" s="2" t="s">
        <v>21</v>
      </c>
      <c r="L1" s="2" t="s">
        <v>49</v>
      </c>
      <c r="M1" s="2" t="s">
        <v>45</v>
      </c>
      <c r="N1" s="2" t="s">
        <v>46</v>
      </c>
    </row>
    <row r="2" spans="1:14">
      <c r="A2" s="2" t="s">
        <v>7</v>
      </c>
      <c r="B2" s="2" t="str">
        <f t="shared" ref="B2:B16" si="0">LEFT(A2, FIND(" ", A2)-1)</f>
        <v>Tejas</v>
      </c>
      <c r="C2" s="2" t="str">
        <f t="shared" ref="C2:C16" si="1">RIGHT(A2,LEN(A2)-FIND(" ",A2))</f>
        <v>kumar yadaw</v>
      </c>
      <c r="D2" s="2" t="s">
        <v>27</v>
      </c>
      <c r="E2" s="2" t="s">
        <v>25</v>
      </c>
      <c r="F2" s="2">
        <v>9</v>
      </c>
      <c r="G2" s="2">
        <f ca="1">RANDBETWEEN(30,60)</f>
        <v>30</v>
      </c>
      <c r="H2" s="2">
        <f ca="1">RANDBETWEEN(20,40)</f>
        <v>30</v>
      </c>
      <c r="I2" s="2">
        <f ca="1">RANDBETWEEN(40,60)</f>
        <v>42</v>
      </c>
      <c r="J2" s="2">
        <f ca="1">SUM(G2, H2, I2)</f>
        <v>102</v>
      </c>
      <c r="K2" s="2" t="str">
        <f ca="1">IF(J2&gt;=120, "Pass", "Fail")</f>
        <v>Fail</v>
      </c>
      <c r="L2" s="3">
        <f ca="1">AVERAGE(G2:I2)</f>
        <v>34</v>
      </c>
      <c r="M2" s="4">
        <f ca="1">MAX(Mark_Analyis!G2,Mark_Analyis!I2)</f>
        <v>42</v>
      </c>
      <c r="N2" s="4">
        <f ca="1">MIN(Mark_Analyis!H2,Mark_Analyis!G2)</f>
        <v>30</v>
      </c>
    </row>
    <row r="3" spans="1:14">
      <c r="A3" s="2" t="s">
        <v>8</v>
      </c>
      <c r="B3" s="2" t="str">
        <f t="shared" si="0"/>
        <v>Rohit</v>
      </c>
      <c r="C3" s="2" t="str">
        <f t="shared" si="1"/>
        <v>sharma</v>
      </c>
      <c r="D3" s="2" t="s">
        <v>28</v>
      </c>
      <c r="E3" s="2" t="s">
        <v>22</v>
      </c>
      <c r="F3" s="2">
        <v>9</v>
      </c>
      <c r="G3" s="2">
        <f ca="1">RANDBETWEEN(30,60)</f>
        <v>39</v>
      </c>
      <c r="H3" s="2">
        <f ca="1">RANDBETWEEN(20,40)</f>
        <v>32</v>
      </c>
      <c r="I3" s="2">
        <f ca="1">RANDBETWEEN(40,60)</f>
        <v>60</v>
      </c>
      <c r="J3" s="2">
        <f ca="1">SUM(G3, H3, I3)</f>
        <v>131</v>
      </c>
      <c r="K3" s="2" t="str">
        <f ca="1">IF(J3&gt;=120, "Pass", "Fail")</f>
        <v>Pass</v>
      </c>
      <c r="L3" s="3">
        <f t="shared" ref="L3:L16" ca="1" si="2">AVERAGE(G3:I3)</f>
        <v>43.666666666666664</v>
      </c>
      <c r="M3" s="4">
        <f ca="1">MAX(Mark_Analyis!G3,Mark_Analyis!I3)</f>
        <v>60</v>
      </c>
      <c r="N3" s="4">
        <f ca="1">MIN(Mark_Analyis!H3,Mark_Analyis!G3)</f>
        <v>32</v>
      </c>
    </row>
    <row r="4" spans="1:14">
      <c r="A4" s="2" t="s">
        <v>9</v>
      </c>
      <c r="B4" s="2" t="str">
        <f t="shared" si="0"/>
        <v>Virat</v>
      </c>
      <c r="C4" s="2" t="str">
        <f t="shared" si="1"/>
        <v>Kohli</v>
      </c>
      <c r="D4" s="2" t="s">
        <v>29</v>
      </c>
      <c r="E4" s="2" t="s">
        <v>25</v>
      </c>
      <c r="F4" s="2">
        <v>9</v>
      </c>
      <c r="G4" s="2">
        <v>46</v>
      </c>
      <c r="H4" s="2">
        <v>39</v>
      </c>
      <c r="I4" s="2">
        <f ca="1">RANDBETWEEN(40,60)</f>
        <v>40</v>
      </c>
      <c r="J4" s="2">
        <f ca="1">SUM(G4, H4, I4)</f>
        <v>125</v>
      </c>
      <c r="K4" s="2" t="str">
        <f ca="1">IF(J4&gt;=120, "Pass", "Fail")</f>
        <v>Pass</v>
      </c>
      <c r="L4" s="3">
        <f t="shared" ca="1" si="2"/>
        <v>41.666666666666664</v>
      </c>
      <c r="M4" s="4">
        <f ca="1">MAX(Mark_Analyis!G4,Mark_Analyis!I4)</f>
        <v>46</v>
      </c>
      <c r="N4" s="4">
        <f>MIN(Mark_Analyis!H4,Mark_Analyis!G4)</f>
        <v>39</v>
      </c>
    </row>
    <row r="5" spans="1:14">
      <c r="A5" s="2" t="s">
        <v>10</v>
      </c>
      <c r="B5" s="2" t="str">
        <f t="shared" si="0"/>
        <v>Hardik</v>
      </c>
      <c r="C5" s="2" t="str">
        <f t="shared" si="1"/>
        <v>pandya</v>
      </c>
      <c r="D5" s="2" t="s">
        <v>30</v>
      </c>
      <c r="E5" s="2" t="s">
        <v>24</v>
      </c>
      <c r="F5" s="2">
        <v>9</v>
      </c>
      <c r="G5" s="2">
        <f ca="1">RANDBETWEEN(30,60)</f>
        <v>59</v>
      </c>
      <c r="H5" s="2">
        <f ca="1">RANDBETWEEN(20,40)</f>
        <v>38</v>
      </c>
      <c r="I5" s="2">
        <f ca="1">RANDBETWEEN(40,60)</f>
        <v>59</v>
      </c>
      <c r="J5" s="2">
        <f ca="1">SUM(G5, H5, I5)</f>
        <v>156</v>
      </c>
      <c r="K5" s="2" t="str">
        <f ca="1">IF(J5&gt;=120, "Pass", "Fail")</f>
        <v>Pass</v>
      </c>
      <c r="L5" s="3">
        <f t="shared" ca="1" si="2"/>
        <v>52</v>
      </c>
      <c r="M5" s="4">
        <f ca="1">MAX(Mark_Analyis!G5,Mark_Analyis!I5)</f>
        <v>59</v>
      </c>
      <c r="N5" s="4">
        <f ca="1">MIN(Mark_Analyis!H5,Mark_Analyis!G5)</f>
        <v>38</v>
      </c>
    </row>
    <row r="6" spans="1:14">
      <c r="A6" s="2" t="s">
        <v>12</v>
      </c>
      <c r="B6" s="2" t="str">
        <f t="shared" si="0"/>
        <v>Surya</v>
      </c>
      <c r="C6" s="2" t="str">
        <f t="shared" si="1"/>
        <v>kumar Yadav</v>
      </c>
      <c r="D6" s="2" t="s">
        <v>31</v>
      </c>
      <c r="E6" s="2" t="s">
        <v>23</v>
      </c>
      <c r="F6" s="2">
        <v>9</v>
      </c>
      <c r="G6" s="2">
        <f ca="1">RANDBETWEEN(30,60)</f>
        <v>55</v>
      </c>
      <c r="H6" s="2">
        <f ca="1">RANDBETWEEN(20,40)</f>
        <v>38</v>
      </c>
      <c r="I6" s="2">
        <f ca="1">RANDBETWEEN(40,60)</f>
        <v>51</v>
      </c>
      <c r="J6" s="2">
        <f ca="1">SUM(G6, H6, I6)</f>
        <v>144</v>
      </c>
      <c r="K6" s="2" t="str">
        <f ca="1">IF(J6&gt;=120, "Pass", "Fail")</f>
        <v>Pass</v>
      </c>
      <c r="L6" s="5">
        <f t="shared" ca="1" si="2"/>
        <v>48</v>
      </c>
      <c r="M6" s="4">
        <f ca="1">MAX(Mark_Analyis!G6,Mark_Analyis!I6)</f>
        <v>55</v>
      </c>
      <c r="N6" s="4">
        <f ca="1">MIN(Mark_Analyis!H6,Mark_Analyis!G6)</f>
        <v>38</v>
      </c>
    </row>
    <row r="7" spans="1:14">
      <c r="A7" s="2" t="s">
        <v>11</v>
      </c>
      <c r="B7" s="2" t="str">
        <f t="shared" si="0"/>
        <v>Tilak</v>
      </c>
      <c r="C7" s="2" t="str">
        <f t="shared" si="1"/>
        <v>varma</v>
      </c>
      <c r="D7" s="2" t="s">
        <v>32</v>
      </c>
      <c r="E7" s="2" t="s">
        <v>22</v>
      </c>
      <c r="F7" s="2">
        <v>9</v>
      </c>
      <c r="G7" s="2">
        <f ca="1">RANDBETWEEN(30,60)</f>
        <v>41</v>
      </c>
      <c r="H7" s="2">
        <f ca="1">RANDBETWEEN(20,40)</f>
        <v>23</v>
      </c>
      <c r="I7" s="2">
        <f ca="1">RANDBETWEEN(40,60)</f>
        <v>43</v>
      </c>
      <c r="J7" s="2">
        <f ca="1">SUM(G7, H7, I7)</f>
        <v>107</v>
      </c>
      <c r="K7" s="2" t="str">
        <f ca="1">IF(J7&gt;=120, "Pass", "Fail")</f>
        <v>Fail</v>
      </c>
      <c r="L7" s="3">
        <f t="shared" ca="1" si="2"/>
        <v>35.666666666666664</v>
      </c>
      <c r="M7" s="4">
        <f ca="1">MAX(Mark_Analyis!G7,Mark_Analyis!I7)</f>
        <v>43</v>
      </c>
      <c r="N7" s="4">
        <f ca="1">MIN(Mark_Analyis!H7,Mark_Analyis!G7)</f>
        <v>23</v>
      </c>
    </row>
    <row r="8" spans="1:14">
      <c r="A8" s="2" t="s">
        <v>13</v>
      </c>
      <c r="B8" s="2" t="str">
        <f t="shared" si="0"/>
        <v>Jasprit</v>
      </c>
      <c r="C8" s="2" t="str">
        <f t="shared" si="1"/>
        <v>bumrah</v>
      </c>
      <c r="D8" s="2" t="s">
        <v>33</v>
      </c>
      <c r="E8" s="2" t="s">
        <v>24</v>
      </c>
      <c r="F8" s="2">
        <v>9</v>
      </c>
      <c r="G8" s="2">
        <f ca="1">RANDBETWEEN(30,60)</f>
        <v>58</v>
      </c>
      <c r="H8" s="2">
        <f ca="1">RANDBETWEEN(20,40)</f>
        <v>26</v>
      </c>
      <c r="I8" s="2">
        <f ca="1">RANDBETWEEN(40,60)</f>
        <v>56</v>
      </c>
      <c r="J8" s="2">
        <f ca="1">SUM(G8, H8, I8)</f>
        <v>140</v>
      </c>
      <c r="K8" s="2" t="str">
        <f ca="1">IF(J8&gt;=120, "Pass", "Fail")</f>
        <v>Pass</v>
      </c>
      <c r="L8" s="3">
        <f t="shared" ca="1" si="2"/>
        <v>46.666666666666664</v>
      </c>
      <c r="M8" s="4">
        <f ca="1">MAX(Mark_Analyis!G8,Mark_Analyis!I8)</f>
        <v>58</v>
      </c>
      <c r="N8" s="4">
        <f ca="1">MIN(Mark_Analyis!H8,Mark_Analyis!G8)</f>
        <v>26</v>
      </c>
    </row>
    <row r="9" spans="1:14">
      <c r="A9" s="2" t="s">
        <v>19</v>
      </c>
      <c r="B9" s="2" t="str">
        <f t="shared" si="0"/>
        <v>Kuldeep</v>
      </c>
      <c r="C9" s="2" t="str">
        <f t="shared" si="1"/>
        <v>yadav</v>
      </c>
      <c r="D9" s="2" t="s">
        <v>34</v>
      </c>
      <c r="E9" s="2" t="s">
        <v>25</v>
      </c>
      <c r="F9" s="2">
        <v>9</v>
      </c>
      <c r="G9" s="2">
        <f ca="1">RANDBETWEEN(30,60)</f>
        <v>30</v>
      </c>
      <c r="H9" s="2">
        <f ca="1">RANDBETWEEN(20,40)</f>
        <v>21</v>
      </c>
      <c r="I9" s="2">
        <f ca="1">RANDBETWEEN(40,60)</f>
        <v>43</v>
      </c>
      <c r="J9" s="2">
        <f ca="1">SUM(G9, H9, I9)</f>
        <v>94</v>
      </c>
      <c r="K9" s="2" t="str">
        <f ca="1">IF(J9&gt;=120, "Pass", "Fail")</f>
        <v>Fail</v>
      </c>
      <c r="L9" s="3">
        <f t="shared" ca="1" si="2"/>
        <v>31.333333333333332</v>
      </c>
      <c r="M9" s="4">
        <f ca="1">MAX(Mark_Analyis!G9,Mark_Analyis!I9)</f>
        <v>43</v>
      </c>
      <c r="N9" s="4">
        <f ca="1">MIN(Mark_Analyis!H9,Mark_Analyis!G9)</f>
        <v>21</v>
      </c>
    </row>
    <row r="10" spans="1:14">
      <c r="A10" s="2" t="s">
        <v>14</v>
      </c>
      <c r="B10" s="2" t="str">
        <f t="shared" si="0"/>
        <v>Rinku</v>
      </c>
      <c r="C10" s="2" t="str">
        <f t="shared" si="1"/>
        <v>singh</v>
      </c>
      <c r="D10" s="2" t="s">
        <v>35</v>
      </c>
      <c r="E10" s="2" t="s">
        <v>23</v>
      </c>
      <c r="F10" s="2">
        <v>9</v>
      </c>
      <c r="G10" s="2">
        <f ca="1">RANDBETWEEN(30,60)</f>
        <v>55</v>
      </c>
      <c r="H10" s="2">
        <f ca="1">RANDBETWEEN(20,40)</f>
        <v>20</v>
      </c>
      <c r="I10" s="2">
        <f ca="1">RANDBETWEEN(40,60)</f>
        <v>46</v>
      </c>
      <c r="J10" s="2">
        <f ca="1">SUM(G10, H10, I10)</f>
        <v>121</v>
      </c>
      <c r="K10" s="2" t="str">
        <f ca="1">IF(J10&gt;=120, "Pass", "Fail")</f>
        <v>Pass</v>
      </c>
      <c r="L10" s="3">
        <f t="shared" ca="1" si="2"/>
        <v>40.333333333333336</v>
      </c>
      <c r="M10" s="4">
        <f ca="1">MAX(Mark_Analyis!G10,Mark_Analyis!I10)</f>
        <v>55</v>
      </c>
      <c r="N10" s="4">
        <f ca="1">MIN(Mark_Analyis!H10,Mark_Analyis!G10)</f>
        <v>20</v>
      </c>
    </row>
    <row r="11" spans="1:14">
      <c r="A11" s="2" t="s">
        <v>15</v>
      </c>
      <c r="B11" s="2" t="str">
        <f t="shared" si="0"/>
        <v>shivam</v>
      </c>
      <c r="C11" s="2" t="str">
        <f t="shared" si="1"/>
        <v>dube</v>
      </c>
      <c r="D11" s="2" t="s">
        <v>36</v>
      </c>
      <c r="E11" s="2" t="s">
        <v>24</v>
      </c>
      <c r="F11" s="2">
        <v>9</v>
      </c>
      <c r="G11" s="2">
        <f ca="1">RANDBETWEEN(30,60)</f>
        <v>32</v>
      </c>
      <c r="H11" s="2">
        <f ca="1">RANDBETWEEN(20,40)</f>
        <v>32</v>
      </c>
      <c r="I11" s="2">
        <f ca="1">RANDBETWEEN(40,60)</f>
        <v>43</v>
      </c>
      <c r="J11" s="2">
        <f ca="1">SUM(G11, H11, I11)</f>
        <v>107</v>
      </c>
      <c r="K11" s="2" t="str">
        <f ca="1">IF(J11&gt;=120, "Pass", "Fail")</f>
        <v>Fail</v>
      </c>
      <c r="L11" s="3">
        <f t="shared" ca="1" si="2"/>
        <v>35.666666666666664</v>
      </c>
      <c r="M11" s="4">
        <f ca="1">MAX(Mark_Analyis!G11,Mark_Analyis!I11)</f>
        <v>43</v>
      </c>
      <c r="N11" s="4">
        <f ca="1">MIN(Mark_Analyis!H11,Mark_Analyis!G11)</f>
        <v>32</v>
      </c>
    </row>
    <row r="12" spans="1:14">
      <c r="A12" s="2" t="s">
        <v>16</v>
      </c>
      <c r="B12" s="2" t="str">
        <f t="shared" si="0"/>
        <v>Abhishek</v>
      </c>
      <c r="C12" s="2" t="str">
        <f t="shared" si="1"/>
        <v>sharma</v>
      </c>
      <c r="D12" s="2" t="s">
        <v>37</v>
      </c>
      <c r="E12" s="2" t="s">
        <v>22</v>
      </c>
      <c r="F12" s="2">
        <v>9</v>
      </c>
      <c r="G12" s="2">
        <f ca="1">RANDBETWEEN(30,60)</f>
        <v>37</v>
      </c>
      <c r="H12" s="2">
        <f ca="1">RANDBETWEEN(20,40)</f>
        <v>25</v>
      </c>
      <c r="I12" s="2">
        <f ca="1">RANDBETWEEN(40,60)</f>
        <v>53</v>
      </c>
      <c r="J12" s="2">
        <f ca="1">SUM(G12, H12, I12)</f>
        <v>115</v>
      </c>
      <c r="K12" s="2" t="str">
        <f ca="1">IF(J12&gt;=120, "Pass", "Fail")</f>
        <v>Fail</v>
      </c>
      <c r="L12" s="3">
        <f t="shared" ca="1" si="2"/>
        <v>38.333333333333336</v>
      </c>
      <c r="M12" s="4">
        <f ca="1">MAX(Mark_Analyis!G12,Mark_Analyis!I12)</f>
        <v>53</v>
      </c>
      <c r="N12" s="4">
        <f ca="1">MIN(Mark_Analyis!H12,Mark_Analyis!G12)</f>
        <v>25</v>
      </c>
    </row>
    <row r="13" spans="1:14">
      <c r="A13" s="2" t="s">
        <v>17</v>
      </c>
      <c r="B13" s="2" t="str">
        <f t="shared" si="0"/>
        <v>Sanju</v>
      </c>
      <c r="C13" s="2" t="str">
        <f t="shared" si="1"/>
        <v>samson</v>
      </c>
      <c r="D13" s="2" t="s">
        <v>38</v>
      </c>
      <c r="E13" s="2" t="s">
        <v>25</v>
      </c>
      <c r="F13" s="2">
        <v>9</v>
      </c>
      <c r="G13" s="2">
        <v>33</v>
      </c>
      <c r="H13" s="2">
        <f ca="1">RANDBETWEEN(20,40)</f>
        <v>26</v>
      </c>
      <c r="I13" s="2">
        <f ca="1">RANDBETWEEN(40,60)</f>
        <v>48</v>
      </c>
      <c r="J13" s="2">
        <f ca="1">SUM(G13, H13, I13)</f>
        <v>107</v>
      </c>
      <c r="K13" s="2" t="str">
        <f ca="1">IF(J13&gt;=120, "Pass", "Fail")</f>
        <v>Fail</v>
      </c>
      <c r="L13" s="3">
        <f t="shared" ca="1" si="2"/>
        <v>35.666666666666664</v>
      </c>
      <c r="M13" s="4">
        <f ca="1">MAX(Mark_Analyis!G13,Mark_Analyis!I13)</f>
        <v>48</v>
      </c>
      <c r="N13" s="4">
        <f ca="1">MIN(Mark_Analyis!H13,Mark_Analyis!G13)</f>
        <v>26</v>
      </c>
    </row>
    <row r="14" spans="1:14">
      <c r="A14" s="2" t="s">
        <v>42</v>
      </c>
      <c r="B14" s="2" t="str">
        <f t="shared" si="0"/>
        <v>KL</v>
      </c>
      <c r="C14" s="2" t="str">
        <f t="shared" si="1"/>
        <v>Rahul</v>
      </c>
      <c r="D14" s="2" t="s">
        <v>39</v>
      </c>
      <c r="E14" s="2" t="s">
        <v>22</v>
      </c>
      <c r="F14" s="2">
        <v>9</v>
      </c>
      <c r="G14" s="2">
        <f ca="1">RANDBETWEEN(30,60)</f>
        <v>42</v>
      </c>
      <c r="H14" s="2">
        <f ca="1">RANDBETWEEN(20,40)</f>
        <v>37</v>
      </c>
      <c r="I14" s="2">
        <f ca="1">RANDBETWEEN(40,60)</f>
        <v>50</v>
      </c>
      <c r="J14" s="2">
        <f ca="1">SUM(G14, H14, I14)</f>
        <v>129</v>
      </c>
      <c r="K14" s="2" t="str">
        <f ca="1">IF(J14&gt;=120, "Pass", "Fail")</f>
        <v>Pass</v>
      </c>
      <c r="L14" s="3">
        <f t="shared" ca="1" si="2"/>
        <v>43</v>
      </c>
      <c r="M14" s="4">
        <f ca="1">MAX(Mark_Analyis!G14,Mark_Analyis!I14)</f>
        <v>50</v>
      </c>
      <c r="N14" s="4">
        <f ca="1">MIN(Mark_Analyis!H14,Mark_Analyis!G14)</f>
        <v>37</v>
      </c>
    </row>
    <row r="15" spans="1:14">
      <c r="A15" s="2" t="s">
        <v>43</v>
      </c>
      <c r="B15" s="2" t="str">
        <f t="shared" si="0"/>
        <v>Rishabh</v>
      </c>
      <c r="C15" s="2" t="str">
        <f t="shared" si="1"/>
        <v>Pant</v>
      </c>
      <c r="D15" s="2" t="s">
        <v>40</v>
      </c>
      <c r="E15" s="2" t="s">
        <v>23</v>
      </c>
      <c r="F15" s="2">
        <v>9</v>
      </c>
      <c r="G15" s="2">
        <f ca="1">RANDBETWEEN(30,60)</f>
        <v>48</v>
      </c>
      <c r="H15" s="2">
        <f ca="1">RANDBETWEEN(20,40)</f>
        <v>33</v>
      </c>
      <c r="I15" s="2">
        <f ca="1">RANDBETWEEN(40,60)</f>
        <v>48</v>
      </c>
      <c r="J15" s="2">
        <f ca="1">SUM(G15, H15, I15)</f>
        <v>129</v>
      </c>
      <c r="K15" s="2" t="str">
        <f ca="1">IF(J15&gt;=120, "Pass", "Fail")</f>
        <v>Pass</v>
      </c>
      <c r="L15" s="3">
        <f t="shared" ca="1" si="2"/>
        <v>43</v>
      </c>
      <c r="M15" s="4">
        <f ca="1">MAX(Mark_Analyis!G15,Mark_Analyis!I15)</f>
        <v>48</v>
      </c>
      <c r="N15" s="4">
        <f ca="1">MIN(Mark_Analyis!H15,Mark_Analyis!G15)</f>
        <v>33</v>
      </c>
    </row>
    <row r="16" spans="1:14">
      <c r="A16" s="2" t="s">
        <v>44</v>
      </c>
      <c r="B16" s="2" t="str">
        <f t="shared" si="0"/>
        <v>Jitesh</v>
      </c>
      <c r="C16" s="2" t="str">
        <f t="shared" si="1"/>
        <v>Sharma</v>
      </c>
      <c r="D16" s="2" t="s">
        <v>41</v>
      </c>
      <c r="E16" s="2" t="s">
        <v>24</v>
      </c>
      <c r="F16" s="2">
        <v>9</v>
      </c>
      <c r="G16" s="2">
        <f ca="1">RANDBETWEEN(30,60)</f>
        <v>43</v>
      </c>
      <c r="H16" s="2">
        <f ca="1">RANDBETWEEN(20,40)</f>
        <v>38</v>
      </c>
      <c r="I16" s="2">
        <f ca="1">RANDBETWEEN(40,60)</f>
        <v>52</v>
      </c>
      <c r="J16" s="2">
        <f ca="1">SUM(G16, H16, I16)</f>
        <v>133</v>
      </c>
      <c r="K16" s="2" t="str">
        <f ca="1">IF(J16&gt;=120, "Pass", "Fail")</f>
        <v>Pass</v>
      </c>
      <c r="L16" s="3">
        <f t="shared" ca="1" si="2"/>
        <v>44.333333333333336</v>
      </c>
      <c r="M16" s="2">
        <v>57</v>
      </c>
      <c r="N16" s="4">
        <f ca="1">MAX(Mark_Analyis!G16,Mark_Analyis!I16)</f>
        <v>52</v>
      </c>
    </row>
  </sheetData>
  <conditionalFormatting sqref="P13">
    <cfRule type="cellIs" dxfId="3" priority="4" operator="lessThan">
      <formula>110</formula>
    </cfRule>
    <cfRule type="cellIs" dxfId="2" priority="5" operator="lessThan">
      <formula>40</formula>
    </cfRule>
  </conditionalFormatting>
  <conditionalFormatting sqref="G4:I16">
    <cfRule type="cellIs" dxfId="1" priority="3" operator="lessThan">
      <formula>40</formula>
    </cfRule>
  </conditionalFormatting>
  <conditionalFormatting sqref="G2:N16">
    <cfRule type="cellIs" dxfId="0" priority="1" operator="lessThan">
      <formula>40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9" sqref="I1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Mark_Analyis</vt:lpstr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2025-12-26T14:51:57Z</dcterms:created>
  <dcterms:modified xsi:type="dcterms:W3CDTF">2025-12-31T11:08:45Z</dcterms:modified>
</cp:coreProperties>
</file>